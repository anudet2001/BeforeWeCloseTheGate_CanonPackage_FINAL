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Dashboard" sheetId="1" state="visible" r:id="rId1"/>
    <sheet xmlns:r="http://schemas.openxmlformats.org/officeDocument/2006/relationships" name="SLA Formula Summary" sheetId="2" state="visible" r:id="rId2"/>
    <sheet xmlns:r="http://schemas.openxmlformats.org/officeDocument/2006/relationships" name="Executive QC Summary" sheetId="3" state="visible" r:id="rId3"/>
    <sheet xmlns:r="http://schemas.openxmlformats.org/officeDocument/2006/relationships" name="Canon QC Checklist" sheetId="4" state="visible" r:id="rId4"/>
    <sheet xmlns:r="http://schemas.openxmlformats.org/officeDocument/2006/relationships" name="Action Items &amp; SLA" sheetId="5" state="visible" r:id="rId5"/>
    <sheet xmlns:r="http://schemas.openxmlformats.org/officeDocument/2006/relationships" name="RACI Matrix" sheetId="6" state="visible" r:id="rId6"/>
  </sheets>
  <definedNames>
    <definedName name="_xlnm._FilterDatabase" localSheetId="4" hidden="1">'Action Items &amp; SLA'!$A$1:$K$18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 mmm yyyy hh:mm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17324D"/>
    </font>
    <font>
      <b val="1"/>
      <color rgb="003B8C6E"/>
    </font>
    <font>
      <b val="1"/>
      <color rgb="00FFFFFF"/>
    </font>
    <font>
      <i val="1"/>
      <color rgb="0066737F"/>
    </font>
    <font>
      <b val="1"/>
      <color rgb="004E8C8A"/>
      <sz val="13"/>
    </font>
    <font>
      <b val="1"/>
      <color rgb="003B8C6E"/>
      <sz val="13"/>
    </font>
    <font>
      <b val="1"/>
      <color rgb="00E9834A"/>
      <sz val="13"/>
    </font>
    <font>
      <b val="1"/>
      <color rgb="00D95C5C"/>
      <sz val="13"/>
    </font>
    <font>
      <b val="1"/>
      <color rgb="0017324D"/>
      <sz val="16"/>
    </font>
    <font>
      <b val="1"/>
      <color rgb="00FFFFFF"/>
      <sz val="2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0" fontId="10" fillId="0" borderId="0" pivotButton="0" quotePrefix="0" xfId="0"/>
    <xf numFmtId="164" fontId="0" fillId="0" borderId="0" applyAlignment="1" pivotButton="0" quotePrefix="0" xfId="0">
      <alignment vertical="top" wrapText="1"/>
    </xf>
    <xf numFmtId="0" fontId="11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3">
    <dxf>
      <fill>
        <patternFill patternType="solid">
          <fgColor rgb="00D9EAD3"/>
        </patternFill>
      </fill>
    </dxf>
    <dxf>
      <font>
        <b val="1"/>
        <color rgb="00000000"/>
      </font>
      <fill>
        <patternFill patternType="solid">
          <fgColor rgb="00C6EFCE"/>
        </patternFill>
      </fill>
    </dxf>
    <dxf>
      <font>
        <b val="1"/>
        <color rgb="00000000"/>
      </font>
      <fill>
        <patternFill patternType="solid">
          <fgColor rgb="00FFF2CC"/>
        </patternFill>
      </fill>
    </dxf>
    <dxf>
      <font>
        <b val="1"/>
        <color rgb="00000000"/>
      </font>
      <fill>
        <patternFill patternType="solid">
          <fgColor rgb="00FCE4D6"/>
        </patternFill>
      </fill>
    </dxf>
    <dxf>
      <font>
        <b val="1"/>
        <color rgb="00000000"/>
      </font>
      <fill>
        <patternFill patternType="solid">
          <fgColor rgb="00F4CCCC"/>
        </patternFill>
      </fill>
    </dxf>
    <dxf>
      <font>
        <b val="1"/>
        <color rgb="00FFFFFF"/>
      </font>
      <fill>
        <patternFill patternType="solid">
          <fgColor rgb="00C00000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'SLA 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'SLA Dashboard'!$A$12:$A$17</f>
            </numRef>
          </cat>
          <val>
            <numRef>
              <f>'SLA Dashboard'!$B$12:$B$17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Actions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'SLA Dashboard'!F11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'SLA Dashboard'!$D$12:$D$15</f>
            </numRef>
          </cat>
          <val>
            <numRef>
              <f>'SLA Dashboard'!$F$12:$F$15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 Score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QC Summary'!B12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QC Summary'!$A$13:$A$17</f>
            </numRef>
          </cat>
          <val>
            <numRef>
              <f>'Executive QC Summary'!$B$13:$B$17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/ 20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28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22" customWidth="1" min="4" max="4"/>
    <col width="22" customWidth="1" min="5" max="5"/>
    <col width="18" customWidth="1" min="6" max="6"/>
    <col width="4" customWidth="1" min="7" max="7"/>
    <col width="24" customWidth="1" min="8" max="8"/>
    <col width="24" customWidth="1" min="9" max="9"/>
    <col width="12" customWidth="1" min="10" max="10"/>
  </cols>
  <sheetData>
    <row r="1">
      <c r="A1" s="1" t="inlineStr">
        <is>
          <t>EP01 SLA EXECUTIVE DASHBOARD</t>
        </is>
      </c>
    </row>
    <row r="2"/>
    <row r="3">
      <c r="A3" s="9" t="inlineStr">
        <is>
          <t>อัปเดตอัตโนมัติจากชีต Action Items &amp; SLA</t>
        </is>
      </c>
    </row>
    <row r="5">
      <c r="A5" s="10" t="inlineStr">
        <is>
          <t>Total Actions
=COUNTA('Action Items &amp; SLA'!B2:B18)</t>
        </is>
      </c>
      <c r="C5" s="11" t="inlineStr">
        <is>
          <t>Completed
=COUNTIF('Action Items &amp; SLA'!J2:J18,"Completed")</t>
        </is>
      </c>
      <c r="E5" s="11" t="inlineStr">
        <is>
          <t>On Track
=COUNTIF('Action Items &amp; SLA'!J2:J18,"On Track")</t>
        </is>
      </c>
      <c r="G5" s="12" t="inlineStr">
        <is>
          <t>At Risk
=COUNTIF('Action Items &amp; SLA'!J2:J18,"At Risk")</t>
        </is>
      </c>
      <c r="I5" s="13" t="inlineStr">
        <is>
          <t>Overdue + Escalated
=COUNTIF('Action Items &amp; SLA'!J2:J18,"Overdue")+COUNTIF('Action Items &amp; SLA'!J2:J18,"Escalated")</t>
        </is>
      </c>
    </row>
    <row r="6"/>
    <row r="7"/>
    <row r="11">
      <c r="A11" s="4" t="inlineStr">
        <is>
          <t>SLA Status</t>
        </is>
      </c>
      <c r="B11" s="4" t="inlineStr">
        <is>
          <t>Count</t>
        </is>
      </c>
      <c r="C11" s="4" t="n"/>
      <c r="D11" s="4" t="inlineStr">
        <is>
          <t>Priority</t>
        </is>
      </c>
      <c r="E11" s="4" t="inlineStr">
        <is>
          <t>Total</t>
        </is>
      </c>
      <c r="F11" s="4" t="inlineStr">
        <is>
          <t>Open</t>
        </is>
      </c>
      <c r="G11" s="4" t="n"/>
      <c r="H11" s="4" t="inlineStr">
        <is>
          <t>Executive Indicator</t>
        </is>
      </c>
      <c r="I11" s="4" t="inlineStr">
        <is>
          <t>Value</t>
        </is>
      </c>
      <c r="J11" s="4" t="n"/>
    </row>
    <row r="12">
      <c r="A12" t="inlineStr">
        <is>
          <t>Completed</t>
        </is>
      </c>
      <c r="B12">
        <f>COUNTIF('Action Items &amp; SLA'!J2:J18,A12)</f>
        <v/>
      </c>
      <c r="D12" t="inlineStr">
        <is>
          <t>P1</t>
        </is>
      </c>
      <c r="E12">
        <f>COUNTIF('Action Items &amp; SLA'!A2:A18,D12)</f>
        <v/>
      </c>
      <c r="F12">
        <f>COUNTIFS('Action Items &amp; SLA'!A2:A18,D12,'Action Items &amp; SLA'!I2:I18,"&lt;&gt;Completed")</f>
        <v/>
      </c>
      <c r="H12" t="inlineStr">
        <is>
          <t>SLA Compliance %</t>
        </is>
      </c>
      <c r="I12" s="14">
        <f>IF(B5=0,0,(B13+B14+B15)/B5)</f>
        <v/>
      </c>
    </row>
    <row r="13">
      <c r="A13" t="inlineStr">
        <is>
          <t>On Track</t>
        </is>
      </c>
      <c r="B13">
        <f>COUNTIF('Action Items &amp; SLA'!J2:J18,A13)</f>
        <v/>
      </c>
      <c r="D13" t="inlineStr">
        <is>
          <t>P2</t>
        </is>
      </c>
      <c r="E13">
        <f>COUNTIF('Action Items &amp; SLA'!A2:A18,D13)</f>
        <v/>
      </c>
      <c r="F13">
        <f>COUNTIFS('Action Items &amp; SLA'!A2:A18,D13,'Action Items &amp; SLA'!I2:I18,"&lt;&gt;Completed")</f>
        <v/>
      </c>
      <c r="H13" t="inlineStr">
        <is>
          <t>Open P1</t>
        </is>
      </c>
      <c r="I13">
        <f>COUNTIFS('Action Items &amp; SLA'!A2:A18,"P1",'Action Items &amp; SLA'!I2:I18,"&lt;&gt;Completed")</f>
        <v/>
      </c>
    </row>
    <row r="14">
      <c r="A14" t="inlineStr">
        <is>
          <t>Pending</t>
        </is>
      </c>
      <c r="B14">
        <f>COUNTIF('Action Items &amp; SLA'!J2:J18,A14)</f>
        <v/>
      </c>
      <c r="D14" t="inlineStr">
        <is>
          <t>P3</t>
        </is>
      </c>
      <c r="E14">
        <f>COUNTIF('Action Items &amp; SLA'!A2:A18,D14)</f>
        <v/>
      </c>
      <c r="F14">
        <f>COUNTIFS('Action Items &amp; SLA'!A2:A18,D14,'Action Items &amp; SLA'!I2:I18,"&lt;&gt;Completed")</f>
        <v/>
      </c>
      <c r="H14" t="inlineStr">
        <is>
          <t>Next Due</t>
        </is>
      </c>
      <c r="I14" s="15">
        <f>MINIFS('Action Items &amp; SLA'!F2:F18,'Action Items &amp; SLA'!I2:I18,"&lt;&gt;Completed")</f>
        <v/>
      </c>
    </row>
    <row r="15">
      <c r="A15" t="inlineStr">
        <is>
          <t>At Risk</t>
        </is>
      </c>
      <c r="B15">
        <f>COUNTIF('Action Items &amp; SLA'!J2:J18,A15)</f>
        <v/>
      </c>
      <c r="D15" t="inlineStr">
        <is>
          <t>P4</t>
        </is>
      </c>
      <c r="E15">
        <f>COUNTIF('Action Items &amp; SLA'!A2:A18,D15)</f>
        <v/>
      </c>
      <c r="F15">
        <f>COUNTIFS('Action Items &amp; SLA'!A2:A18,D15,'Action Items &amp; SLA'!I2:I18,"&lt;&gt;Completed")</f>
        <v/>
      </c>
      <c r="H15" t="inlineStr">
        <is>
          <t>Overall SLA Health</t>
        </is>
      </c>
      <c r="I15">
        <f>IF(B17+B16&gt;0,"CRITICAL",IF(B15&gt;0,"AT RISK","HEALTHY"))</f>
        <v/>
      </c>
    </row>
    <row r="16">
      <c r="A16" t="inlineStr">
        <is>
          <t>Overdue</t>
        </is>
      </c>
      <c r="B16">
        <f>COUNTIF('Action Items &amp; SLA'!J2:J18,A16)</f>
        <v/>
      </c>
    </row>
    <row r="17">
      <c r="A17" t="inlineStr">
        <is>
          <t>Escalated</t>
        </is>
      </c>
      <c r="B17">
        <f>COUNTIF('Action Items &amp; SLA'!J2:J18,A17)</f>
        <v/>
      </c>
    </row>
    <row r="38">
      <c r="A38" s="16" t="inlineStr">
        <is>
          <t>Next Actions Requiring Attention</t>
        </is>
      </c>
    </row>
    <row r="39">
      <c r="A39" s="4" t="inlineStr">
        <is>
          <t>Priority</t>
        </is>
      </c>
      <c r="B39" s="4" t="inlineStr">
        <is>
          <t>Action Item</t>
        </is>
      </c>
      <c r="C39" s="4" t="inlineStr">
        <is>
          <t>Owner</t>
        </is>
      </c>
      <c r="D39" s="4" t="inlineStr">
        <is>
          <t>SLA Due</t>
        </is>
      </c>
      <c r="E39" s="4" t="inlineStr">
        <is>
          <t>Escalation</t>
        </is>
      </c>
      <c r="F39" s="4" t="inlineStr">
        <is>
          <t>SLA Status</t>
        </is>
      </c>
    </row>
    <row r="40">
      <c r="A40">
        <f>'Action Items &amp; SLA'!A2</f>
        <v/>
      </c>
      <c r="B40">
        <f>'Action Items &amp; SLA'!B2</f>
        <v/>
      </c>
      <c r="C40">
        <f>'Action Items &amp; SLA'!C2</f>
        <v/>
      </c>
      <c r="D40" s="15">
        <f>'Action Items &amp; SLA'!F2</f>
        <v/>
      </c>
      <c r="E40" s="15">
        <f>'Action Items &amp; SLA'!H2</f>
        <v/>
      </c>
      <c r="F40">
        <f>'Action Items &amp; SLA'!J2</f>
        <v/>
      </c>
    </row>
    <row r="41">
      <c r="A41">
        <f>'Action Items &amp; SLA'!A3</f>
        <v/>
      </c>
      <c r="B41">
        <f>'Action Items &amp; SLA'!B3</f>
        <v/>
      </c>
      <c r="C41">
        <f>'Action Items &amp; SLA'!C3</f>
        <v/>
      </c>
      <c r="D41" s="15">
        <f>'Action Items &amp; SLA'!F3</f>
        <v/>
      </c>
      <c r="E41" s="15">
        <f>'Action Items &amp; SLA'!H3</f>
        <v/>
      </c>
      <c r="F41">
        <f>'Action Items &amp; SLA'!J3</f>
        <v/>
      </c>
    </row>
    <row r="42">
      <c r="A42">
        <f>'Action Items &amp; SLA'!A4</f>
        <v/>
      </c>
      <c r="B42">
        <f>'Action Items &amp; SLA'!B4</f>
        <v/>
      </c>
      <c r="C42">
        <f>'Action Items &amp; SLA'!C4</f>
        <v/>
      </c>
      <c r="D42" s="15">
        <f>'Action Items &amp; SLA'!F4</f>
        <v/>
      </c>
      <c r="E42" s="15">
        <f>'Action Items &amp; SLA'!H4</f>
        <v/>
      </c>
      <c r="F42">
        <f>'Action Items &amp; SLA'!J4</f>
        <v/>
      </c>
    </row>
    <row r="43">
      <c r="A43">
        <f>'Action Items &amp; SLA'!A5</f>
        <v/>
      </c>
      <c r="B43">
        <f>'Action Items &amp; SLA'!B5</f>
        <v/>
      </c>
      <c r="C43">
        <f>'Action Items &amp; SLA'!C5</f>
        <v/>
      </c>
      <c r="D43" s="15">
        <f>'Action Items &amp; SLA'!F5</f>
        <v/>
      </c>
      <c r="E43" s="15">
        <f>'Action Items &amp; SLA'!H5</f>
        <v/>
      </c>
      <c r="F43">
        <f>'Action Items &amp; SLA'!J5</f>
        <v/>
      </c>
    </row>
    <row r="44">
      <c r="A44">
        <f>'Action Items &amp; SLA'!A6</f>
        <v/>
      </c>
      <c r="B44">
        <f>'Action Items &amp; SLA'!B6</f>
        <v/>
      </c>
      <c r="C44">
        <f>'Action Items &amp; SLA'!C6</f>
        <v/>
      </c>
      <c r="D44" s="15">
        <f>'Action Items &amp; SLA'!F6</f>
        <v/>
      </c>
      <c r="E44" s="15">
        <f>'Action Items &amp; SLA'!H6</f>
        <v/>
      </c>
      <c r="F44">
        <f>'Action Items &amp; SLA'!J6</f>
        <v/>
      </c>
    </row>
  </sheetData>
  <mergeCells count="6">
    <mergeCell ref="A1:J2"/>
    <mergeCell ref="C5:D7"/>
    <mergeCell ref="G5:H7"/>
    <mergeCell ref="E5:F7"/>
    <mergeCell ref="A5:B7"/>
    <mergeCell ref="I5:J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44" customWidth="1" min="4" max="4"/>
    <col width="34" customWidth="1" min="5" max="5"/>
    <col width="14" customWidth="1" min="6" max="6"/>
    <col width="20" customWidth="1" min="7" max="7"/>
  </cols>
  <sheetData>
    <row r="1">
      <c r="A1" s="18" t="inlineStr">
        <is>
          <t>SLA STATUS FORMULA SUMMARY</t>
        </is>
      </c>
    </row>
    <row r="2"/>
    <row r="4">
      <c r="A4" s="19" t="inlineStr">
        <is>
          <t>SLA Status</t>
        </is>
      </c>
      <c r="B4" s="19" t="inlineStr">
        <is>
          <t>Count</t>
        </is>
      </c>
      <c r="C4" s="19" t="inlineStr">
        <is>
          <t>% of Total</t>
        </is>
      </c>
      <c r="D4" s="19" t="inlineStr">
        <is>
          <t>Definition</t>
        </is>
      </c>
      <c r="E4" s="19" t="inlineStr">
        <is>
          <t>Executive Action</t>
        </is>
      </c>
      <c r="F4" s="19" t="inlineStr">
        <is>
          <t>Color</t>
        </is>
      </c>
    </row>
    <row r="5">
      <c r="A5" s="6" t="inlineStr">
        <is>
          <t>Completed</t>
        </is>
      </c>
      <c r="B5" s="6">
        <f>COUNTIF('Action Items &amp; SLA'!$J$2:$J$18,A5)</f>
        <v/>
      </c>
      <c r="C5" s="20">
        <f>IF($B$12=0,0,B5/$B$12)</f>
        <v/>
      </c>
      <c r="D5" s="6" t="inlineStr">
        <is>
          <t>งานเสร็จแล้ว</t>
        </is>
      </c>
      <c r="E5" s="6" t="inlineStr">
        <is>
          <t>ไม่ต้องดำเนินการเพิ่มเติม</t>
        </is>
      </c>
      <c r="F5" s="6" t="inlineStr">
        <is>
          <t>Green</t>
        </is>
      </c>
    </row>
    <row r="6">
      <c r="A6" s="6" t="inlineStr">
        <is>
          <t>On Track</t>
        </is>
      </c>
      <c r="B6" s="6">
        <f>COUNTIF('Action Items &amp; SLA'!$J$2:$J$18,A6)</f>
        <v/>
      </c>
      <c r="C6" s="20">
        <f>IF($B$12=0,0,B6/$B$12)</f>
        <v/>
      </c>
      <c r="D6" s="6" t="inlineStr">
        <is>
          <t>ยังไม่ครบ SLA และเหลือเวลามากกว่า 25%</t>
        </is>
      </c>
      <c r="E6" s="6" t="inlineStr">
        <is>
          <t>ติดตามตามแผน</t>
        </is>
      </c>
      <c r="F6" s="6" t="inlineStr">
        <is>
          <t>Green</t>
        </is>
      </c>
    </row>
    <row r="7">
      <c r="A7" s="6" t="inlineStr">
        <is>
          <t>Pending</t>
        </is>
      </c>
      <c r="B7" s="6">
        <f>COUNTIF('Action Items &amp; SLA'!$J$2:$J$18,A7)</f>
        <v/>
      </c>
      <c r="C7" s="20">
        <f>IF($B$12=0,0,B7/$B$12)</f>
        <v/>
      </c>
      <c r="D7" s="6" t="inlineStr">
        <is>
          <t>รอเริ่มงาน แต่ยังไม่เกิน SLA</t>
        </is>
      </c>
      <c r="E7" s="6" t="inlineStr">
        <is>
          <t>Owner ยืนยันวันเริ่ม</t>
        </is>
      </c>
      <c r="F7" s="6" t="inlineStr">
        <is>
          <t>Yellow</t>
        </is>
      </c>
    </row>
    <row r="8">
      <c r="A8" s="6" t="inlineStr">
        <is>
          <t>At Risk</t>
        </is>
      </c>
      <c r="B8" s="6">
        <f>COUNTIF('Action Items &amp; SLA'!$J$2:$J$18,A8)</f>
        <v/>
      </c>
      <c r="C8" s="20">
        <f>IF($B$12=0,0,B8/$B$12)</f>
        <v/>
      </c>
      <c r="D8" s="6" t="inlineStr">
        <is>
          <t>เหลือเวลาไม่เกิน 25% ก่อนครบ SLA</t>
        </is>
      </c>
      <c r="E8" s="6" t="inlineStr">
        <is>
          <t>เร่ง Owner และ Producer</t>
        </is>
      </c>
      <c r="F8" s="6" t="inlineStr">
        <is>
          <t>Orange</t>
        </is>
      </c>
    </row>
    <row r="9">
      <c r="A9" s="6" t="inlineStr">
        <is>
          <t>Overdue</t>
        </is>
      </c>
      <c r="B9" s="6">
        <f>COUNTIF('Action Items &amp; SLA'!$J$2:$J$18,A9)</f>
        <v/>
      </c>
      <c r="C9" s="20">
        <f>IF($B$12=0,0,B9/$B$12)</f>
        <v/>
      </c>
      <c r="D9" s="6" t="inlineStr">
        <is>
          <t>เกินเวลาครบ SLA แต่ยังไม่ถึงวัน Escalation</t>
        </is>
      </c>
      <c r="E9" s="6" t="inlineStr">
        <is>
          <t>แก้ไขทันทีและแจ้ง Producer</t>
        </is>
      </c>
      <c r="F9" s="6" t="inlineStr">
        <is>
          <t>Red</t>
        </is>
      </c>
    </row>
    <row r="10">
      <c r="A10" s="6" t="inlineStr">
        <is>
          <t>Escalated</t>
        </is>
      </c>
      <c r="B10" s="6">
        <f>COUNTIF('Action Items &amp; SLA'!$J$2:$J$18,A10)</f>
        <v/>
      </c>
      <c r="C10" s="20">
        <f>IF($B$12=0,0,B10/$B$12)</f>
        <v/>
      </c>
      <c r="D10" s="6" t="inlineStr">
        <is>
          <t>เกินวันและเวลา Escalation</t>
        </is>
      </c>
      <c r="E10" s="6" t="inlineStr">
        <is>
          <t>แจ้ง Executive Producer</t>
        </is>
      </c>
      <c r="F10" s="6" t="inlineStr">
        <is>
          <t>Dark Red</t>
        </is>
      </c>
    </row>
    <row r="12">
      <c r="A12" s="2" t="inlineStr">
        <is>
          <t>Total Actions</t>
        </is>
      </c>
      <c r="B12">
        <f>SUM(B5:B10)</f>
        <v/>
      </c>
      <c r="D12" s="2" t="inlineStr">
        <is>
          <t>สูตร SLA Status รายงาน</t>
        </is>
      </c>
    </row>
    <row r="13">
      <c r="A13" s="2" t="inlineStr">
        <is>
          <t>SLA Compliant</t>
        </is>
      </c>
      <c r="B13">
        <f>B5+B6+B7</f>
        <v/>
      </c>
      <c r="D13" t="inlineStr">
        <is>
          <t>Completed overrides all statuses.</t>
        </is>
      </c>
    </row>
    <row r="14">
      <c r="A14" s="2" t="inlineStr">
        <is>
          <t>SLA Non-Compliant</t>
        </is>
      </c>
      <c r="B14">
        <f>B9+B10</f>
        <v/>
      </c>
      <c r="D14" t="inlineStr">
        <is>
          <t>Escalated: NOW() &gt; Escalation Date/Time</t>
        </is>
      </c>
    </row>
    <row r="15">
      <c r="A15" s="2" t="inlineStr">
        <is>
          <t>SLA Compliance %</t>
        </is>
      </c>
      <c r="B15" s="14">
        <f>IF(B12=0,0,B13/B12)</f>
        <v/>
      </c>
      <c r="D15" t="inlineStr">
        <is>
          <t>Overdue: NOW() &gt; SLA Due Date/Time</t>
        </is>
      </c>
    </row>
    <row r="16">
      <c r="A16" s="2" t="inlineStr">
        <is>
          <t>Overall SLA Health</t>
        </is>
      </c>
      <c r="B16">
        <f>IF(B10&gt;0,"CRITICAL",IF(B9&gt;0,"OVERDUE",IF(B8&gt;0,"AT RISK",IF(B7&gt;0,"PENDING","HEALTHY"))))</f>
        <v/>
      </c>
      <c r="D16" t="inlineStr">
        <is>
          <t>At Risk: อยู่ใน 20% สุดท้ายของ SLA</t>
        </is>
      </c>
    </row>
    <row r="17">
      <c r="A17" s="2" t="inlineStr">
        <is>
          <t>Next SLA Due</t>
        </is>
      </c>
      <c r="B17" s="15">
        <f>MINIFS('Action Items &amp; SLA'!$F$2:$F$18,'Action Items &amp; SLA'!$I$2:$I$18,"&lt;&gt;Completed")</f>
        <v/>
      </c>
      <c r="D17" t="inlineStr">
        <is>
          <t>Pending: Work Status = Pending</t>
        </is>
      </c>
    </row>
    <row r="18">
      <c r="A18" s="2" t="inlineStr">
        <is>
          <t>Next Escalation</t>
        </is>
      </c>
      <c r="B18" s="15">
        <f>MINIFS('Action Items &amp; SLA'!$H$2:$H$18,'Action Items &amp; SLA'!$I$2:$I$18,"&lt;&gt;Completed")</f>
        <v/>
      </c>
      <c r="D18" t="inlineStr">
        <is>
          <t>On Track: ยังไม่เข้าเงื่อนไขข้างต้น</t>
        </is>
      </c>
    </row>
    <row r="21">
      <c r="A21" s="16" t="inlineStr">
        <is>
          <t>Owner KPI Summary</t>
        </is>
      </c>
    </row>
    <row r="22">
      <c r="A22" s="4" t="inlineStr">
        <is>
          <t>Owner</t>
        </is>
      </c>
      <c r="B22" s="4" t="inlineStr">
        <is>
          <t>Total</t>
        </is>
      </c>
      <c r="C22" s="4" t="inlineStr">
        <is>
          <t>Open</t>
        </is>
      </c>
      <c r="D22" s="4" t="inlineStr">
        <is>
          <t>At Risk</t>
        </is>
      </c>
      <c r="E22" s="4" t="inlineStr">
        <is>
          <t>Overdue</t>
        </is>
      </c>
      <c r="F22" s="4" t="inlineStr">
        <is>
          <t>Escalated</t>
        </is>
      </c>
      <c r="G22" s="4" t="inlineStr">
        <is>
          <t>SLA Compliance %</t>
        </is>
      </c>
    </row>
    <row r="23">
      <c r="A23" t="inlineStr">
        <is>
          <t>Canon Director</t>
        </is>
      </c>
      <c r="B23">
        <f>COUNTIF('Action Items &amp; SLA'!$C$2:$C$18,A23)</f>
        <v/>
      </c>
      <c r="C23">
        <f>COUNTIFS('Action Items &amp; SLA'!$C$2:$C$18,A23,'Action Items &amp; SLA'!$I$2:$I$18,"&lt;&gt;Completed")</f>
        <v/>
      </c>
      <c r="D23">
        <f>COUNTIFS('Action Items &amp; SLA'!$C$2:$C$18,A23,'Action Items &amp; SLA'!$J$2:$J$18,"At Risk")</f>
        <v/>
      </c>
      <c r="E23">
        <f>COUNTIFS('Action Items &amp; SLA'!$C$2:$C$18,A23,'Action Items &amp; SLA'!$J$2:$J$18,"Overdue")</f>
        <v/>
      </c>
      <c r="F23">
        <f>COUNTIFS('Action Items &amp; SLA'!$C$2:$C$18,A23,'Action Items &amp; SLA'!$J$2:$J$18,"Escalated")</f>
        <v/>
      </c>
      <c r="G23" s="14">
        <f>IF(B23=0,0,(B23-E23-F23)/B23)</f>
        <v/>
      </c>
    </row>
    <row r="24">
      <c r="A24" t="inlineStr">
        <is>
          <t>Lead Writer</t>
        </is>
      </c>
      <c r="B24">
        <f>COUNTIF('Action Items &amp; SLA'!$C$2:$C$18,A24)</f>
        <v/>
      </c>
      <c r="C24">
        <f>COUNTIFS('Action Items &amp; SLA'!$C$2:$C$18,A24,'Action Items &amp; SLA'!$I$2:$I$18,"&lt;&gt;Completed")</f>
        <v/>
      </c>
      <c r="D24">
        <f>COUNTIFS('Action Items &amp; SLA'!$C$2:$C$18,A24,'Action Items &amp; SLA'!$J$2:$J$18,"At Risk")</f>
        <v/>
      </c>
      <c r="E24">
        <f>COUNTIFS('Action Items &amp; SLA'!$C$2:$C$18,A24,'Action Items &amp; SLA'!$J$2:$J$18,"Overdue")</f>
        <v/>
      </c>
      <c r="F24">
        <f>COUNTIFS('Action Items &amp; SLA'!$C$2:$C$18,A24,'Action Items &amp; SLA'!$J$2:$J$18,"Escalated")</f>
        <v/>
      </c>
      <c r="G24" s="14">
        <f>IF(B24=0,0,(B24-E24-F24)/B24)</f>
        <v/>
      </c>
    </row>
    <row r="25">
      <c r="A25" t="inlineStr">
        <is>
          <t>Art Director</t>
        </is>
      </c>
      <c r="B25">
        <f>COUNTIF('Action Items &amp; SLA'!$C$2:$C$18,A25)</f>
        <v/>
      </c>
      <c r="C25">
        <f>COUNTIFS('Action Items &amp; SLA'!$C$2:$C$18,A25,'Action Items &amp; SLA'!$I$2:$I$18,"&lt;&gt;Completed")</f>
        <v/>
      </c>
      <c r="D25">
        <f>COUNTIFS('Action Items &amp; SLA'!$C$2:$C$18,A25,'Action Items &amp; SLA'!$J$2:$J$18,"At Risk")</f>
        <v/>
      </c>
      <c r="E25">
        <f>COUNTIFS('Action Items &amp; SLA'!$C$2:$C$18,A25,'Action Items &amp; SLA'!$J$2:$J$18,"Overdue")</f>
        <v/>
      </c>
      <c r="F25">
        <f>COUNTIFS('Action Items &amp; SLA'!$C$2:$C$18,A25,'Action Items &amp; SLA'!$J$2:$J$18,"Escalated")</f>
        <v/>
      </c>
      <c r="G25" s="14">
        <f>IF(B25=0,0,(B25-E25-F25)/B25)</f>
        <v/>
      </c>
    </row>
    <row r="26">
      <c r="A26" t="inlineStr">
        <is>
          <t>Prompt Lead</t>
        </is>
      </c>
      <c r="B26">
        <f>COUNTIF('Action Items &amp; SLA'!$C$2:$C$18,A26)</f>
        <v/>
      </c>
      <c r="C26">
        <f>COUNTIFS('Action Items &amp; SLA'!$C$2:$C$18,A26,'Action Items &amp; SLA'!$I$2:$I$18,"&lt;&gt;Completed")</f>
        <v/>
      </c>
      <c r="D26">
        <f>COUNTIFS('Action Items &amp; SLA'!$C$2:$C$18,A26,'Action Items &amp; SLA'!$J$2:$J$18,"At Risk")</f>
        <v/>
      </c>
      <c r="E26">
        <f>COUNTIFS('Action Items &amp; SLA'!$C$2:$C$18,A26,'Action Items &amp; SLA'!$J$2:$J$18,"Overdue")</f>
        <v/>
      </c>
      <c r="F26">
        <f>COUNTIFS('Action Items &amp; SLA'!$C$2:$C$18,A26,'Action Items &amp; SLA'!$J$2:$J$18,"Escalated")</f>
        <v/>
      </c>
      <c r="G26" s="14">
        <f>IF(B26=0,0,(B26-E26-F26)/B26)</f>
        <v/>
      </c>
    </row>
    <row r="27">
      <c r="A27" t="inlineStr">
        <is>
          <t>Animation Lead</t>
        </is>
      </c>
      <c r="B27">
        <f>COUNTIF('Action Items &amp; SLA'!$C$2:$C$18,A27)</f>
        <v/>
      </c>
      <c r="C27">
        <f>COUNTIFS('Action Items &amp; SLA'!$C$2:$C$18,A27,'Action Items &amp; SLA'!$I$2:$I$18,"&lt;&gt;Completed")</f>
        <v/>
      </c>
      <c r="D27">
        <f>COUNTIFS('Action Items &amp; SLA'!$C$2:$C$18,A27,'Action Items &amp; SLA'!$J$2:$J$18,"At Risk")</f>
        <v/>
      </c>
      <c r="E27">
        <f>COUNTIFS('Action Items &amp; SLA'!$C$2:$C$18,A27,'Action Items &amp; SLA'!$J$2:$J$18,"Overdue")</f>
        <v/>
      </c>
      <c r="F27">
        <f>COUNTIFS('Action Items &amp; SLA'!$C$2:$C$18,A27,'Action Items &amp; SLA'!$J$2:$J$18,"Escalated")</f>
        <v/>
      </c>
      <c r="G27" s="14">
        <f>IF(B27=0,0,(B27-E27-F27)/B27)</f>
        <v/>
      </c>
    </row>
    <row r="28">
      <c r="A28" t="inlineStr">
        <is>
          <t>Producer</t>
        </is>
      </c>
      <c r="B28">
        <f>COUNTIF('Action Items &amp; SLA'!$C$2:$C$18,A28)</f>
        <v/>
      </c>
      <c r="C28">
        <f>COUNTIFS('Action Items &amp; SLA'!$C$2:$C$18,A28,'Action Items &amp; SLA'!$I$2:$I$18,"&lt;&gt;Completed")</f>
        <v/>
      </c>
      <c r="D28">
        <f>COUNTIFS('Action Items &amp; SLA'!$C$2:$C$18,A28,'Action Items &amp; SLA'!$J$2:$J$18,"At Risk")</f>
        <v/>
      </c>
      <c r="E28">
        <f>COUNTIFS('Action Items &amp; SLA'!$C$2:$C$18,A28,'Action Items &amp; SLA'!$J$2:$J$18,"Overdue")</f>
        <v/>
      </c>
      <c r="F28">
        <f>COUNTIFS('Action Items &amp; SLA'!$C$2:$C$18,A28,'Action Items &amp; SLA'!$J$2:$J$18,"Escalated")</f>
        <v/>
      </c>
      <c r="G28" s="14">
        <f>IF(B28=0,0,(B28-E28-F28)/B28)</f>
        <v/>
      </c>
    </row>
    <row r="29">
      <c r="A29" t="inlineStr">
        <is>
          <t>Art Team</t>
        </is>
      </c>
      <c r="B29">
        <f>COUNTIF('Action Items &amp; SLA'!$C$2:$C$18,A29)</f>
        <v/>
      </c>
      <c r="C29">
        <f>COUNTIFS('Action Items &amp; SLA'!$C$2:$C$18,A29,'Action Items &amp; SLA'!$I$2:$I$18,"&lt;&gt;Completed")</f>
        <v/>
      </c>
      <c r="D29">
        <f>COUNTIFS('Action Items &amp; SLA'!$C$2:$C$18,A29,'Action Items &amp; SLA'!$J$2:$J$18,"At Risk")</f>
        <v/>
      </c>
      <c r="E29">
        <f>COUNTIFS('Action Items &amp; SLA'!$C$2:$C$18,A29,'Action Items &amp; SLA'!$J$2:$J$18,"Overdue")</f>
        <v/>
      </c>
      <c r="F29">
        <f>COUNTIFS('Action Items &amp; SLA'!$C$2:$C$18,A29,'Action Items &amp; SLA'!$J$2:$J$18,"Escalated")</f>
        <v/>
      </c>
      <c r="G29" s="14">
        <f>IF(B29=0,0,(B29-E29-F29)/B29)</f>
        <v/>
      </c>
    </row>
    <row r="30">
      <c r="A30" t="inlineStr">
        <is>
          <t>Art QA</t>
        </is>
      </c>
      <c r="B30">
        <f>COUNTIF('Action Items &amp; SLA'!$C$2:$C$18,A30)</f>
        <v/>
      </c>
      <c r="C30">
        <f>COUNTIFS('Action Items &amp; SLA'!$C$2:$C$18,A30,'Action Items &amp; SLA'!$I$2:$I$18,"&lt;&gt;Completed")</f>
        <v/>
      </c>
      <c r="D30">
        <f>COUNTIFS('Action Items &amp; SLA'!$C$2:$C$18,A30,'Action Items &amp; SLA'!$J$2:$J$18,"At Risk")</f>
        <v/>
      </c>
      <c r="E30">
        <f>COUNTIFS('Action Items &amp; SLA'!$C$2:$C$18,A30,'Action Items &amp; SLA'!$J$2:$J$18,"Overdue")</f>
        <v/>
      </c>
      <c r="F30">
        <f>COUNTIFS('Action Items &amp; SLA'!$C$2:$C$18,A30,'Action Items &amp; SLA'!$J$2:$J$18,"Escalated")</f>
        <v/>
      </c>
      <c r="G30" s="14">
        <f>IF(B30=0,0,(B30-E30-F30)/B30)</f>
        <v/>
      </c>
    </row>
    <row r="31">
      <c r="A31" t="inlineStr">
        <is>
          <t>Canon Team</t>
        </is>
      </c>
      <c r="B31">
        <f>COUNTIF('Action Items &amp; SLA'!$C$2:$C$18,A31)</f>
        <v/>
      </c>
      <c r="C31">
        <f>COUNTIFS('Action Items &amp; SLA'!$C$2:$C$18,A31,'Action Items &amp; SLA'!$I$2:$I$18,"&lt;&gt;Completed")</f>
        <v/>
      </c>
      <c r="D31">
        <f>COUNTIFS('Action Items &amp; SLA'!$C$2:$C$18,A31,'Action Items &amp; SLA'!$J$2:$J$18,"At Risk")</f>
        <v/>
      </c>
      <c r="E31">
        <f>COUNTIFS('Action Items &amp; SLA'!$C$2:$C$18,A31,'Action Items &amp; SLA'!$J$2:$J$18,"Overdue")</f>
        <v/>
      </c>
      <c r="F31">
        <f>COUNTIFS('Action Items &amp; SLA'!$C$2:$C$18,A31,'Action Items &amp; SLA'!$J$2:$J$18,"Escalated")</f>
        <v/>
      </c>
      <c r="G31" s="14">
        <f>IF(B31=0,0,(B31-E31-F31)/B31)</f>
        <v/>
      </c>
    </row>
    <row r="32">
      <c r="A32" t="inlineStr">
        <is>
          <t>Editor Lead</t>
        </is>
      </c>
      <c r="B32">
        <f>COUNTIF('Action Items &amp; SLA'!$C$2:$C$18,A32)</f>
        <v/>
      </c>
      <c r="C32">
        <f>COUNTIFS('Action Items &amp; SLA'!$C$2:$C$18,A32,'Action Items &amp; SLA'!$I$2:$I$18,"&lt;&gt;Completed")</f>
        <v/>
      </c>
      <c r="D32">
        <f>COUNTIFS('Action Items &amp; SLA'!$C$2:$C$18,A32,'Action Items &amp; SLA'!$J$2:$J$18,"At Risk")</f>
        <v/>
      </c>
      <c r="E32">
        <f>COUNTIFS('Action Items &amp; SLA'!$C$2:$C$18,A32,'Action Items &amp; SLA'!$J$2:$J$18,"Overdue")</f>
        <v/>
      </c>
      <c r="F32">
        <f>COUNTIFS('Action Items &amp; SLA'!$C$2:$C$18,A32,'Action Items &amp; SLA'!$J$2:$J$18,"Escalated")</f>
        <v/>
      </c>
      <c r="G32" s="14">
        <f>IF(B32=0,0,(B32-E32-F32)/B32)</f>
        <v/>
      </c>
    </row>
    <row r="33">
      <c r="A33" t="inlineStr">
        <is>
          <t>Audio Lead</t>
        </is>
      </c>
      <c r="B33">
        <f>COUNTIF('Action Items &amp; SLA'!$C$2:$C$18,A33)</f>
        <v/>
      </c>
      <c r="C33">
        <f>COUNTIFS('Action Items &amp; SLA'!$C$2:$C$18,A33,'Action Items &amp; SLA'!$I$2:$I$18,"&lt;&gt;Completed")</f>
        <v/>
      </c>
      <c r="D33">
        <f>COUNTIFS('Action Items &amp; SLA'!$C$2:$C$18,A33,'Action Items &amp; SLA'!$J$2:$J$18,"At Risk")</f>
        <v/>
      </c>
      <c r="E33">
        <f>COUNTIFS('Action Items &amp; SLA'!$C$2:$C$18,A33,'Action Items &amp; SLA'!$J$2:$J$18,"Overdue")</f>
        <v/>
      </c>
      <c r="F33">
        <f>COUNTIFS('Action Items &amp; SLA'!$C$2:$C$18,A33,'Action Items &amp; SLA'!$J$2:$J$18,"Escalated")</f>
        <v/>
      </c>
      <c r="G33" s="14">
        <f>IF(B33=0,0,(B33-E33-F33)/B33)</f>
        <v/>
      </c>
    </row>
    <row r="34">
      <c r="A34" t="inlineStr">
        <is>
          <t>Marketing Lead</t>
        </is>
      </c>
      <c r="B34">
        <f>COUNTIF('Action Items &amp; SLA'!$C$2:$C$18,A34)</f>
        <v/>
      </c>
      <c r="C34">
        <f>COUNTIFS('Action Items &amp; SLA'!$C$2:$C$18,A34,'Action Items &amp; SLA'!$I$2:$I$18,"&lt;&gt;Completed")</f>
        <v/>
      </c>
      <c r="D34">
        <f>COUNTIFS('Action Items &amp; SLA'!$C$2:$C$18,A34,'Action Items &amp; SLA'!$J$2:$J$18,"At Risk")</f>
        <v/>
      </c>
      <c r="E34">
        <f>COUNTIFS('Action Items &amp; SLA'!$C$2:$C$18,A34,'Action Items &amp; SLA'!$J$2:$J$18,"Overdue")</f>
        <v/>
      </c>
      <c r="F34">
        <f>COUNTIFS('Action Items &amp; SLA'!$C$2:$C$18,A34,'Action Items &amp; SLA'!$J$2:$J$18,"Escalated")</f>
        <v/>
      </c>
      <c r="G34" s="14">
        <f>IF(B34=0,0,(B34-E34-F34)/B34)</f>
        <v/>
      </c>
    </row>
    <row r="35">
      <c r="A35" t="inlineStr">
        <is>
          <t>QC Lead</t>
        </is>
      </c>
      <c r="B35">
        <f>COUNTIF('Action Items &amp; SLA'!$C$2:$C$18,A35)</f>
        <v/>
      </c>
      <c r="C35">
        <f>COUNTIFS('Action Items &amp; SLA'!$C$2:$C$18,A35,'Action Items &amp; SLA'!$I$2:$I$18,"&lt;&gt;Completed")</f>
        <v/>
      </c>
      <c r="D35">
        <f>COUNTIFS('Action Items &amp; SLA'!$C$2:$C$18,A35,'Action Items &amp; SLA'!$J$2:$J$18,"At Risk")</f>
        <v/>
      </c>
      <c r="E35">
        <f>COUNTIFS('Action Items &amp; SLA'!$C$2:$C$18,A35,'Action Items &amp; SLA'!$J$2:$J$18,"Overdue")</f>
        <v/>
      </c>
      <c r="F35">
        <f>COUNTIFS('Action Items &amp; SLA'!$C$2:$C$18,A35,'Action Items &amp; SLA'!$J$2:$J$18,"Escalated")</f>
        <v/>
      </c>
      <c r="G35" s="14">
        <f>IF(B35=0,0,(B35-E35-F35)/B35)</f>
        <v/>
      </c>
    </row>
    <row r="36">
      <c r="A36" t="inlineStr">
        <is>
          <t>Executive Producer</t>
        </is>
      </c>
      <c r="B36">
        <f>COUNTIF('Action Items &amp; SLA'!$C$2:$C$18,A36)</f>
        <v/>
      </c>
      <c r="C36">
        <f>COUNTIFS('Action Items &amp; SLA'!$C$2:$C$18,A36,'Action Items &amp; SLA'!$I$2:$I$18,"&lt;&gt;Completed")</f>
        <v/>
      </c>
      <c r="D36">
        <f>COUNTIFS('Action Items &amp; SLA'!$C$2:$C$18,A36,'Action Items &amp; SLA'!$J$2:$J$18,"At Risk")</f>
        <v/>
      </c>
      <c r="E36">
        <f>COUNTIFS('Action Items &amp; SLA'!$C$2:$C$18,A36,'Action Items &amp; SLA'!$J$2:$J$18,"Overdue")</f>
        <v/>
      </c>
      <c r="F36">
        <f>COUNTIFS('Action Items &amp; SLA'!$C$2:$C$18,A36,'Action Items &amp; SLA'!$J$2:$J$18,"Escalated")</f>
        <v/>
      </c>
      <c r="G36" s="14">
        <f>IF(B36=0,0,(B36-E36-F36)/B36)</f>
        <v/>
      </c>
    </row>
  </sheetData>
  <mergeCells count="1">
    <mergeCell ref="A1:F2"/>
  </mergeCells>
  <conditionalFormatting sqref="A5:A10">
    <cfRule type="expression" priority="1" dxfId="1">
      <formula>$A5="Completed"</formula>
    </cfRule>
    <cfRule type="expression" priority="2" dxfId="1">
      <formula>$A5="On Track"</formula>
    </cfRule>
    <cfRule type="expression" priority="3" dxfId="2">
      <formula>$A5="Pending"</formula>
    </cfRule>
    <cfRule type="expression" priority="4" dxfId="3">
      <formula>$A5="At Risk"</formula>
    </cfRule>
    <cfRule type="expression" priority="5" dxfId="4">
      <formula>$A5="Overdue"</formula>
    </cfRule>
    <cfRule type="expression" priority="6" dxfId="5">
      <formula>$A5="Escalated"</formula>
    </cfRule>
  </conditionalFormatting>
  <conditionalFormatting sqref="B16">
    <cfRule type="expression" priority="7" dxfId="10">
      <formula>$B$16="HEALTHY"</formula>
    </cfRule>
    <cfRule type="expression" priority="8" dxfId="8">
      <formula>$B$16="PENDING"</formula>
    </cfRule>
    <cfRule type="expression" priority="9" dxfId="7">
      <formula>$B$16="AT RISK"</formula>
    </cfRule>
    <cfRule type="expression" priority="10" dxfId="6">
      <formula>OR($B$16="OVERDUE",$B$16="CRITICAL")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1" t="inlineStr">
        <is>
          <t>EP01 Executive QC Summary</t>
        </is>
      </c>
    </row>
    <row r="2"/>
    <row r="4">
      <c r="A4" t="inlineStr">
        <is>
          <t>Episode</t>
        </is>
      </c>
      <c r="B4" t="inlineStr">
        <is>
          <t>EP01</t>
        </is>
      </c>
      <c r="D4" s="2" t="inlineStr">
        <is>
          <t>Canon Health</t>
        </is>
      </c>
      <c r="E4" s="3" t="inlineStr">
        <is>
          <t>MASTER CANON</t>
        </is>
      </c>
    </row>
    <row r="5">
      <c r="A5" t="inlineStr">
        <is>
          <t>ชื่อ</t>
        </is>
      </c>
      <c r="B5" t="inlineStr">
        <is>
          <t>นักสืบกับความกล้าที่อยู่ปลายเชือก</t>
        </is>
      </c>
      <c r="D5" s="2" t="inlineStr">
        <is>
          <t>CCI</t>
        </is>
      </c>
      <c r="E5" s="3" t="n">
        <v>96</v>
      </c>
    </row>
    <row r="6">
      <c r="A6" t="inlineStr">
        <is>
          <t>Runtime Target</t>
        </is>
      </c>
      <c r="B6" t="inlineStr">
        <is>
          <t>8:20</t>
        </is>
      </c>
      <c r="D6" s="2" t="inlineStr">
        <is>
          <t>Risk</t>
        </is>
      </c>
      <c r="E6" s="3" t="inlineStr">
        <is>
          <t>LOW</t>
        </is>
      </c>
    </row>
    <row r="7">
      <c r="A7" t="inlineStr">
        <is>
          <t>Scenes</t>
        </is>
      </c>
      <c r="B7" t="n">
        <v>11</v>
      </c>
    </row>
    <row r="8">
      <c r="A8" t="inlineStr">
        <is>
          <t>Frames</t>
        </is>
      </c>
      <c r="B8" t="n">
        <v>39</v>
      </c>
    </row>
    <row r="9">
      <c r="A9" t="inlineStr">
        <is>
          <t>Production Status</t>
        </is>
      </c>
      <c r="B9" t="inlineStr">
        <is>
          <t>UNLOCKED</t>
        </is>
      </c>
    </row>
    <row r="12">
      <c r="A12" s="4" t="inlineStr">
        <is>
          <t>หมวด</t>
        </is>
      </c>
      <c r="B12" s="4" t="inlineStr">
        <is>
          <t>คะแนน</t>
        </is>
      </c>
      <c r="D12" s="4" t="inlineStr">
        <is>
          <t>Department</t>
        </is>
      </c>
      <c r="E12" s="4" t="inlineStr">
        <is>
          <t>Status</t>
        </is>
      </c>
    </row>
    <row r="13">
      <c r="A13" t="inlineStr">
        <is>
          <t>Timeline</t>
        </is>
      </c>
      <c r="B13" t="n">
        <v>19</v>
      </c>
      <c r="D13" t="inlineStr">
        <is>
          <t>Writing</t>
        </is>
      </c>
      <c r="E13" t="inlineStr">
        <is>
          <t>Ready</t>
        </is>
      </c>
    </row>
    <row r="14">
      <c r="A14" t="inlineStr">
        <is>
          <t>Character</t>
        </is>
      </c>
      <c r="B14" t="n">
        <v>20</v>
      </c>
      <c r="D14" t="inlineStr">
        <is>
          <t>Storyboard</t>
        </is>
      </c>
      <c r="E14" t="inlineStr">
        <is>
          <t>Ready</t>
        </is>
      </c>
    </row>
    <row r="15">
      <c r="A15" t="inlineStr">
        <is>
          <t>Location</t>
        </is>
      </c>
      <c r="B15" t="n">
        <v>19</v>
      </c>
      <c r="D15" t="inlineStr">
        <is>
          <t>Prompt Team</t>
        </is>
      </c>
      <c r="E15" t="inlineStr">
        <is>
          <t>Ready</t>
        </is>
      </c>
    </row>
    <row r="16">
      <c r="A16" t="inlineStr">
        <is>
          <t>Mystery</t>
        </is>
      </c>
      <c r="B16" t="n">
        <v>19</v>
      </c>
      <c r="D16" t="inlineStr">
        <is>
          <t>Art Team</t>
        </is>
      </c>
      <c r="E16" t="inlineStr">
        <is>
          <t>Ready</t>
        </is>
      </c>
    </row>
    <row r="17">
      <c r="A17" t="inlineStr">
        <is>
          <t>Arc Progression</t>
        </is>
      </c>
      <c r="B17" t="n">
        <v>19</v>
      </c>
      <c r="D17" t="inlineStr">
        <is>
          <t>Animation</t>
        </is>
      </c>
      <c r="E17" t="inlineStr">
        <is>
          <t>Ready</t>
        </is>
      </c>
    </row>
    <row r="18">
      <c r="A18" t="inlineStr">
        <is>
          <t>CCI Total</t>
        </is>
      </c>
      <c r="B18">
        <f>SUM(B13:B17)</f>
        <v/>
      </c>
      <c r="D18" t="inlineStr">
        <is>
          <t>Editing</t>
        </is>
      </c>
      <c r="E18" t="inlineStr">
        <is>
          <t>Ready</t>
        </is>
      </c>
    </row>
    <row r="19">
      <c r="D19" t="inlineStr">
        <is>
          <t>QC</t>
        </is>
      </c>
      <c r="E19" t="inlineStr">
        <is>
          <t>Ready</t>
        </is>
      </c>
    </row>
  </sheetData>
  <mergeCells count="1">
    <mergeCell ref="A1:F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5" customWidth="1" min="3" max="3"/>
    <col width="20" customWidth="1" min="4" max="4"/>
    <col width="35" customWidth="1" min="5" max="5"/>
  </cols>
  <sheetData>
    <row r="1">
      <c r="A1" s="4" t="inlineStr">
        <is>
          <t>Category</t>
        </is>
      </c>
      <c r="B1" s="4" t="inlineStr">
        <is>
          <t>Check Item</t>
        </is>
      </c>
      <c r="C1" s="4" t="inlineStr">
        <is>
          <t>Status</t>
        </is>
      </c>
      <c r="D1" s="4" t="inlineStr">
        <is>
          <t>Owner</t>
        </is>
      </c>
      <c r="E1" s="4" t="inlineStr">
        <is>
          <t>Note</t>
        </is>
      </c>
    </row>
    <row r="2">
      <c r="A2" t="inlineStr">
        <is>
          <t>Story</t>
        </is>
      </c>
      <c r="B2" t="inlineStr">
        <is>
          <t>Route อายุ 15 ปีตลอดตอน</t>
        </is>
      </c>
      <c r="C2" t="inlineStr">
        <is>
          <t>PASS</t>
        </is>
      </c>
    </row>
    <row r="3">
      <c r="A3" t="inlineStr">
        <is>
          <t>Story</t>
        </is>
      </c>
      <c r="B3" t="inlineStr">
        <is>
          <t>ไม่มีการเปิดเผยโรงเรียน Shared Memory หรือห้องแล็บ</t>
        </is>
      </c>
      <c r="C3" t="inlineStr">
        <is>
          <t>PASS</t>
        </is>
      </c>
    </row>
    <row r="4">
      <c r="A4" t="inlineStr">
        <is>
          <t>Character</t>
        </is>
      </c>
      <c r="B4" t="inlineStr">
        <is>
          <t>หมวก เป้ และเชือกของ Route ต่อเนื่อง</t>
        </is>
      </c>
      <c r="C4" t="inlineStr">
        <is>
          <t>PASS</t>
        </is>
      </c>
    </row>
    <row r="5">
      <c r="A5" t="inlineStr">
        <is>
          <t>Character</t>
        </is>
      </c>
      <c r="B5" t="inlineStr">
        <is>
          <t>Rabbit B มีผ้าพันคอเขียวหม่นและแผลหูขวา</t>
        </is>
      </c>
      <c r="C5" t="inlineStr">
        <is>
          <t>PASS</t>
        </is>
      </c>
    </row>
    <row r="6">
      <c r="A6" t="inlineStr">
        <is>
          <t>Location</t>
        </is>
      </c>
      <c r="B6" t="inlineStr">
        <is>
          <t>ประตูรั้วอยู่หลังป้อมยาม</t>
        </is>
      </c>
      <c r="C6" t="inlineStr">
        <is>
          <t>PASS</t>
        </is>
      </c>
    </row>
    <row r="7">
      <c r="A7" t="inlineStr">
        <is>
          <t>Knowledge</t>
        </is>
      </c>
      <c r="B7" t="inlineStr">
        <is>
          <t>Route ยังไม่รู้ชื่อ Rabbit B</t>
        </is>
      </c>
      <c r="C7" t="inlineStr">
        <is>
          <t>PASS</t>
        </is>
      </c>
    </row>
    <row r="8">
      <c r="A8" t="inlineStr">
        <is>
          <t>Clue</t>
        </is>
      </c>
      <c r="B8" t="inlineStr">
        <is>
          <t>เบาะแสทั้ง 7 จุดปรากฏครบ</t>
        </is>
      </c>
      <c r="C8" t="inlineStr">
        <is>
          <t>PASS</t>
        </is>
      </c>
    </row>
    <row r="9">
      <c r="A9" t="inlineStr">
        <is>
          <t>Audio</t>
        </is>
      </c>
      <c r="B9" t="inlineStr">
        <is>
          <t>BGM ไม่กลบบทพูด</t>
        </is>
      </c>
      <c r="C9" t="inlineStr">
        <is>
          <t>PASS</t>
        </is>
      </c>
    </row>
    <row r="10">
      <c r="A10" t="inlineStr">
        <is>
          <t>Editing</t>
        </is>
      </c>
      <c r="B10" t="inlineStr">
        <is>
          <t>ลำดับช็อต F1-F39 ครบ</t>
        </is>
      </c>
      <c r="C10" t="inlineStr">
        <is>
          <t>PASS</t>
        </is>
      </c>
    </row>
    <row r="11">
      <c r="A11" t="inlineStr">
        <is>
          <t>Delivery</t>
        </is>
      </c>
      <c r="B11" t="inlineStr">
        <is>
          <t>ความยาวรวมใกล้เป้า 8:20</t>
        </is>
      </c>
      <c r="C11" t="inlineStr">
        <is>
          <t>PASS</t>
        </is>
      </c>
    </row>
  </sheetData>
  <conditionalFormatting sqref="C2:C100">
    <cfRule type="cellIs" priority="1" operator="equal" dxfId="0">
      <formula>"PASS"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22" customWidth="1" min="4" max="4"/>
    <col width="12" customWidth="1" min="5" max="5"/>
    <col width="22" customWidth="1" min="6" max="6"/>
    <col width="20" customWidth="1" min="7" max="7"/>
    <col width="22" customWidth="1" min="8" max="8"/>
    <col width="16" customWidth="1" min="9" max="9"/>
    <col width="16" customWidth="1" min="10" max="10"/>
    <col width="30" customWidth="1" min="11" max="11"/>
  </cols>
  <sheetData>
    <row r="1">
      <c r="A1" s="5" t="inlineStr">
        <is>
          <t>Priority</t>
        </is>
      </c>
      <c r="B1" s="5" t="inlineStr">
        <is>
          <t>Action Item</t>
        </is>
      </c>
      <c r="C1" s="5" t="inlineStr">
        <is>
          <t>Owner</t>
        </is>
      </c>
      <c r="D1" s="5" t="inlineStr">
        <is>
          <t>Start Date/Time</t>
        </is>
      </c>
      <c r="E1" s="5" t="inlineStr">
        <is>
          <t>SLA (Hours)</t>
        </is>
      </c>
      <c r="F1" s="5" t="inlineStr">
        <is>
          <t>SLA Due Date/Time</t>
        </is>
      </c>
      <c r="G1" s="5" t="inlineStr">
        <is>
          <t>Operational Due Date</t>
        </is>
      </c>
      <c r="H1" s="5" t="inlineStr">
        <is>
          <t>Escalation Date/Time</t>
        </is>
      </c>
      <c r="I1" s="5" t="inlineStr">
        <is>
          <t>Work Status</t>
        </is>
      </c>
      <c r="J1" s="5" t="inlineStr">
        <is>
          <t>SLA Status</t>
        </is>
      </c>
      <c r="K1" s="5" t="inlineStr">
        <is>
          <t>Notes</t>
        </is>
      </c>
    </row>
    <row r="2">
      <c r="A2" s="6" t="inlineStr">
        <is>
          <t>P1</t>
        </is>
      </c>
      <c r="B2" s="6" t="inlineStr">
        <is>
          <t>Canon Package Approval</t>
        </is>
      </c>
      <c r="C2" s="6" t="inlineStr">
        <is>
          <t>Canon Director</t>
        </is>
      </c>
      <c r="D2" s="17" t="n">
        <v>46294.77083333334</v>
      </c>
      <c r="E2" s="6" t="n">
        <v>24</v>
      </c>
      <c r="F2" s="17">
        <f>D2+E2/24</f>
        <v/>
      </c>
      <c r="G2" s="17">
        <f>F2</f>
        <v/>
      </c>
      <c r="H2" s="17">
        <f>F2+IF(A2="P1",12/24,IF(A2="P2",24/24,IF(A2="P3",24/24,6/24)))</f>
        <v/>
      </c>
      <c r="I2" s="6" t="inlineStr">
        <is>
          <t>Pending</t>
        </is>
      </c>
      <c r="J2" s="6">
        <f>IF(I2="Completed","Completed",IF(NOW()&gt;H2,"Escalated",IF(NOW()&gt;F2,"Overdue",IF(NOW()&gt;=F2-(E2/24)*20%,"At Risk",IF(I2="Pending","Pending","On Track")))))</f>
        <v/>
      </c>
      <c r="K2" s="6" t="n"/>
    </row>
    <row r="3">
      <c r="A3" s="6" t="inlineStr">
        <is>
          <t>P1</t>
        </is>
      </c>
      <c r="B3" s="6" t="inlineStr">
        <is>
          <t>Script &amp; Shot Breakdown Lock</t>
        </is>
      </c>
      <c r="C3" s="6" t="inlineStr">
        <is>
          <t>Lead Writer</t>
        </is>
      </c>
      <c r="D3" s="17" t="n">
        <v>46294.77083333334</v>
      </c>
      <c r="E3" s="6" t="n">
        <v>24</v>
      </c>
      <c r="F3" s="17">
        <f>D3+E3/24</f>
        <v/>
      </c>
      <c r="G3" s="17">
        <f>F3</f>
        <v/>
      </c>
      <c r="H3" s="17">
        <f>F3+IF(A3="P1",12/24,IF(A3="P2",24/24,IF(A3="P3",24/24,6/24)))</f>
        <v/>
      </c>
      <c r="I3" s="6" t="inlineStr">
        <is>
          <t>Pending</t>
        </is>
      </c>
      <c r="J3" s="6">
        <f>IF(I3="Completed","Completed",IF(NOW()&gt;H3,"Escalated",IF(NOW()&gt;F3,"Overdue",IF(NOW()&gt;=F3-(E3/24)*20%,"At Risk",IF(I3="Pending","Pending","On Track")))))</f>
        <v/>
      </c>
      <c r="K3" s="6" t="n"/>
    </row>
    <row r="4">
      <c r="A4" s="6" t="inlineStr">
        <is>
          <t>P1</t>
        </is>
      </c>
      <c r="B4" s="6" t="inlineStr">
        <is>
          <t>Character Canon Approval</t>
        </is>
      </c>
      <c r="C4" s="6" t="inlineStr">
        <is>
          <t>Art Director</t>
        </is>
      </c>
      <c r="D4" s="17" t="n">
        <v>46295.77083333334</v>
      </c>
      <c r="E4" s="6" t="n">
        <v>48</v>
      </c>
      <c r="F4" s="17">
        <f>D4+E4/24</f>
        <v/>
      </c>
      <c r="G4" s="17">
        <f>F4</f>
        <v/>
      </c>
      <c r="H4" s="17">
        <f>F4+IF(A4="P1",12/24,IF(A4="P2",24/24,IF(A4="P3",24/24,6/24)))</f>
        <v/>
      </c>
      <c r="I4" s="6" t="inlineStr">
        <is>
          <t>Pending</t>
        </is>
      </c>
      <c r="J4" s="6">
        <f>IF(I4="Completed","Completed",IF(NOW()&gt;H4,"Escalated",IF(NOW()&gt;F4,"Overdue",IF(NOW()&gt;=F4-(E4/24)*20%,"At Risk",IF(I4="Pending","Pending","On Track")))))</f>
        <v/>
      </c>
      <c r="K4" s="6" t="n"/>
    </row>
    <row r="5">
      <c r="A5" s="6" t="inlineStr">
        <is>
          <t>P1</t>
        </is>
      </c>
      <c r="B5" s="6" t="inlineStr">
        <is>
          <t>Image Prompt Approval</t>
        </is>
      </c>
      <c r="C5" s="6" t="inlineStr">
        <is>
          <t>Prompt Lead</t>
        </is>
      </c>
      <c r="D5" s="17" t="n">
        <v>46295.77083333334</v>
      </c>
      <c r="E5" s="6" t="n">
        <v>48</v>
      </c>
      <c r="F5" s="17">
        <f>D5+E5/24</f>
        <v/>
      </c>
      <c r="G5" s="17">
        <f>F5</f>
        <v/>
      </c>
      <c r="H5" s="17">
        <f>F5+IF(A5="P1",12/24,IF(A5="P2",24/24,IF(A5="P3",24/24,6/24)))</f>
        <v/>
      </c>
      <c r="I5" s="6" t="inlineStr">
        <is>
          <t>Pending</t>
        </is>
      </c>
      <c r="J5" s="6">
        <f>IF(I5="Completed","Completed",IF(NOW()&gt;H5,"Escalated",IF(NOW()&gt;F5,"Overdue",IF(NOW()&gt;=F5-(E5/24)*20%,"At Risk",IF(I5="Pending","Pending","On Track")))))</f>
        <v/>
      </c>
      <c r="K5" s="6" t="n"/>
    </row>
    <row r="6">
      <c r="A6" s="6" t="inlineStr">
        <is>
          <t>P1</t>
        </is>
      </c>
      <c r="B6" s="6" t="inlineStr">
        <is>
          <t>Motion Prompt Approval</t>
        </is>
      </c>
      <c r="C6" s="6" t="inlineStr">
        <is>
          <t>Animation Lead</t>
        </is>
      </c>
      <c r="D6" s="17" t="n">
        <v>46295.77083333334</v>
      </c>
      <c r="E6" s="6" t="n">
        <v>72</v>
      </c>
      <c r="F6" s="17">
        <f>D6+E6/24</f>
        <v/>
      </c>
      <c r="G6" s="17">
        <f>F6</f>
        <v/>
      </c>
      <c r="H6" s="17">
        <f>F6+IF(A6="P1",12/24,IF(A6="P2",24/24,IF(A6="P3",24/24,6/24)))</f>
        <v/>
      </c>
      <c r="I6" s="6" t="inlineStr">
        <is>
          <t>Pending</t>
        </is>
      </c>
      <c r="J6" s="6">
        <f>IF(I6="Completed","Completed",IF(NOW()&gt;H6,"Escalated",IF(NOW()&gt;F6,"Overdue",IF(NOW()&gt;=F6-(E6/24)*20%,"At Risk",IF(I6="Pending","Pending","On Track")))))</f>
        <v/>
      </c>
      <c r="K6" s="6" t="n"/>
    </row>
    <row r="7">
      <c r="A7" s="6" t="inlineStr">
        <is>
          <t>P2</t>
        </is>
      </c>
      <c r="B7" s="6" t="inlineStr">
        <is>
          <t>Asset Tracking Sheet</t>
        </is>
      </c>
      <c r="C7" s="6" t="inlineStr">
        <is>
          <t>Producer</t>
        </is>
      </c>
      <c r="D7" s="17" t="n">
        <v>46296.77083333334</v>
      </c>
      <c r="E7" s="6" t="n">
        <v>24</v>
      </c>
      <c r="F7" s="17">
        <f>D7+E7/24</f>
        <v/>
      </c>
      <c r="G7" s="17">
        <f>F7</f>
        <v/>
      </c>
      <c r="H7" s="17">
        <f>F7+IF(A7="P1",12/24,IF(A7="P2",24/24,IF(A7="P3",24/24,6/24)))</f>
        <v/>
      </c>
      <c r="I7" s="6" t="inlineStr">
        <is>
          <t>Not Started</t>
        </is>
      </c>
      <c r="J7" s="6">
        <f>IF(I7="Completed","Completed",IF(NOW()&gt;H7,"Escalated",IF(NOW()&gt;F7,"Overdue",IF(NOW()&gt;=F7-(E7/24)*20%,"At Risk",IF(I7="Pending","Pending","On Track")))))</f>
        <v/>
      </c>
      <c r="K7" s="6" t="n"/>
    </row>
    <row r="8">
      <c r="A8" s="6" t="inlineStr">
        <is>
          <t>P2</t>
        </is>
      </c>
      <c r="B8" s="6" t="inlineStr">
        <is>
          <t>Key Asset Generation</t>
        </is>
      </c>
      <c r="C8" s="6" t="inlineStr">
        <is>
          <t>Art Team</t>
        </is>
      </c>
      <c r="D8" s="17" t="n">
        <v>46297.77083333334</v>
      </c>
      <c r="E8" s="6" t="n">
        <v>48</v>
      </c>
      <c r="F8" s="17">
        <f>D8+E8/24</f>
        <v/>
      </c>
      <c r="G8" s="17">
        <f>F8</f>
        <v/>
      </c>
      <c r="H8" s="17">
        <f>F8+IF(A8="P1",12/24,IF(A8="P2",24/24,IF(A8="P3",24/24,6/24)))</f>
        <v/>
      </c>
      <c r="I8" s="6" t="inlineStr">
        <is>
          <t>Not Started</t>
        </is>
      </c>
      <c r="J8" s="6">
        <f>IF(I8="Completed","Completed",IF(NOW()&gt;H8,"Escalated",IF(NOW()&gt;F8,"Overdue",IF(NOW()&gt;=F8-(E8/24)*20%,"At Risk",IF(I8="Pending","Pending","On Track")))))</f>
        <v/>
      </c>
      <c r="K8" s="6" t="n"/>
    </row>
    <row r="9">
      <c r="A9" s="6" t="inlineStr">
        <is>
          <t>P2</t>
        </is>
      </c>
      <c r="B9" s="6" t="inlineStr">
        <is>
          <t>Character Consistency Review</t>
        </is>
      </c>
      <c r="C9" s="6" t="inlineStr">
        <is>
          <t>Art QA</t>
        </is>
      </c>
      <c r="D9" s="17" t="n">
        <v>46299.77083333334</v>
      </c>
      <c r="E9" s="6" t="n">
        <v>24</v>
      </c>
      <c r="F9" s="17">
        <f>D9+E9/24</f>
        <v/>
      </c>
      <c r="G9" s="17">
        <f>F9</f>
        <v/>
      </c>
      <c r="H9" s="17">
        <f>F9+IF(A9="P1",12/24,IF(A9="P2",24/24,IF(A9="P3",24/24,6/24)))</f>
        <v/>
      </c>
      <c r="I9" s="6" t="inlineStr">
        <is>
          <t>Not Started</t>
        </is>
      </c>
      <c r="J9" s="6">
        <f>IF(I9="Completed","Completed",IF(NOW()&gt;H9,"Escalated",IF(NOW()&gt;F9,"Overdue",IF(NOW()&gt;=F9-(E9/24)*20%,"At Risk",IF(I9="Pending","Pending","On Track")))))</f>
        <v/>
      </c>
      <c r="K9" s="6" t="n"/>
    </row>
    <row r="10">
      <c r="A10" s="6" t="inlineStr">
        <is>
          <t>P2</t>
        </is>
      </c>
      <c r="B10" s="6" t="inlineStr">
        <is>
          <t>Canon Consistency Review</t>
        </is>
      </c>
      <c r="C10" s="6" t="inlineStr">
        <is>
          <t>Canon Team</t>
        </is>
      </c>
      <c r="D10" s="17" t="n">
        <v>46299.77083333334</v>
      </c>
      <c r="E10" s="6" t="n">
        <v>24</v>
      </c>
      <c r="F10" s="17">
        <f>D10+E10/24</f>
        <v/>
      </c>
      <c r="G10" s="17">
        <f>F10</f>
        <v/>
      </c>
      <c r="H10" s="17">
        <f>F10+IF(A10="P1",12/24,IF(A10="P2",24/24,IF(A10="P3",24/24,6/24)))</f>
        <v/>
      </c>
      <c r="I10" s="6" t="inlineStr">
        <is>
          <t>Not Started</t>
        </is>
      </c>
      <c r="J10" s="6">
        <f>IF(I10="Completed","Completed",IF(NOW()&gt;H10,"Escalated",IF(NOW()&gt;F10,"Overdue",IF(NOW()&gt;=F10-(E10/24)*20%,"At Risk",IF(I10="Pending","Pending","On Track")))))</f>
        <v/>
      </c>
      <c r="K10" s="6" t="n"/>
    </row>
    <row r="11">
      <c r="A11" s="6" t="inlineStr">
        <is>
          <t>P3</t>
        </is>
      </c>
      <c r="B11" s="6" t="inlineStr">
        <is>
          <t>Subtitle Master</t>
        </is>
      </c>
      <c r="C11" s="6" t="inlineStr">
        <is>
          <t>Editor Lead</t>
        </is>
      </c>
      <c r="D11" s="17" t="n">
        <v>46301.77083333334</v>
      </c>
      <c r="E11" s="6" t="n">
        <v>24</v>
      </c>
      <c r="F11" s="17">
        <f>D11+E11/24</f>
        <v/>
      </c>
      <c r="G11" s="17">
        <f>F11</f>
        <v/>
      </c>
      <c r="H11" s="17">
        <f>F11+IF(A11="P1",12/24,IF(A11="P2",24/24,IF(A11="P3",24/24,6/24)))</f>
        <v/>
      </c>
      <c r="I11" s="6" t="inlineStr">
        <is>
          <t>Not Started</t>
        </is>
      </c>
      <c r="J11" s="6">
        <f>IF(I11="Completed","Completed",IF(NOW()&gt;H11,"Escalated",IF(NOW()&gt;F11,"Overdue",IF(NOW()&gt;=F11-(E11/24)*20%,"At Risk",IF(I11="Pending","Pending","On Track")))))</f>
        <v/>
      </c>
      <c r="K11" s="6" t="n"/>
    </row>
    <row r="12">
      <c r="A12" s="6" t="inlineStr">
        <is>
          <t>P3</t>
        </is>
      </c>
      <c r="B12" s="6" t="inlineStr">
        <is>
          <t>Audio Cue Sheet</t>
        </is>
      </c>
      <c r="C12" s="6" t="inlineStr">
        <is>
          <t>Audio Lead</t>
        </is>
      </c>
      <c r="D12" s="17" t="n">
        <v>46301.77083333334</v>
      </c>
      <c r="E12" s="6" t="n">
        <v>24</v>
      </c>
      <c r="F12" s="17">
        <f>D12+E12/24</f>
        <v/>
      </c>
      <c r="G12" s="17">
        <f>F12</f>
        <v/>
      </c>
      <c r="H12" s="17">
        <f>F12+IF(A12="P1",12/24,IF(A12="P2",24/24,IF(A12="P3",24/24,6/24)))</f>
        <v/>
      </c>
      <c r="I12" s="6" t="inlineStr">
        <is>
          <t>Not Started</t>
        </is>
      </c>
      <c r="J12" s="6">
        <f>IF(I12="Completed","Completed",IF(NOW()&gt;H12,"Escalated",IF(NOW()&gt;F12,"Overdue",IF(NOW()&gt;=F12-(E12/24)*20%,"At Risk",IF(I12="Pending","Pending","On Track")))))</f>
        <v/>
      </c>
      <c r="K12" s="6" t="n"/>
    </row>
    <row r="13">
      <c r="A13" s="6" t="inlineStr">
        <is>
          <t>P3</t>
        </is>
      </c>
      <c r="B13" s="6" t="inlineStr">
        <is>
          <t>Music Cue Sheet</t>
        </is>
      </c>
      <c r="C13" s="6" t="inlineStr">
        <is>
          <t>Audio Lead</t>
        </is>
      </c>
      <c r="D13" s="17" t="n">
        <v>46301.77083333334</v>
      </c>
      <c r="E13" s="6" t="n">
        <v>24</v>
      </c>
      <c r="F13" s="17">
        <f>D13+E13/24</f>
        <v/>
      </c>
      <c r="G13" s="17">
        <f>F13</f>
        <v/>
      </c>
      <c r="H13" s="17">
        <f>F13+IF(A13="P1",12/24,IF(A13="P2",24/24,IF(A13="P3",24/24,6/24)))</f>
        <v/>
      </c>
      <c r="I13" s="6" t="inlineStr">
        <is>
          <t>Not Started</t>
        </is>
      </c>
      <c r="J13" s="6">
        <f>IF(I13="Completed","Completed",IF(NOW()&gt;H13,"Escalated",IF(NOW()&gt;F13,"Overdue",IF(NOW()&gt;=F13-(E13/24)*20%,"At Risk",IF(I13="Pending","Pending","On Track")))))</f>
        <v/>
      </c>
      <c r="K13" s="6" t="n"/>
    </row>
    <row r="14">
      <c r="A14" s="6" t="inlineStr">
        <is>
          <t>P3</t>
        </is>
      </c>
      <c r="B14" s="6" t="inlineStr">
        <is>
          <t>YouTube Metadata</t>
        </is>
      </c>
      <c r="C14" s="6" t="inlineStr">
        <is>
          <t>Marketing Lead</t>
        </is>
      </c>
      <c r="D14" s="17" t="n">
        <v>46302.77083333334</v>
      </c>
      <c r="E14" s="6" t="n">
        <v>24</v>
      </c>
      <c r="F14" s="17">
        <f>D14+E14/24</f>
        <v/>
      </c>
      <c r="G14" s="17">
        <f>F14</f>
        <v/>
      </c>
      <c r="H14" s="17">
        <f>F14+IF(A14="P1",12/24,IF(A14="P2",24/24,IF(A14="P3",24/24,6/24)))</f>
        <v/>
      </c>
      <c r="I14" s="6" t="inlineStr">
        <is>
          <t>Not Started</t>
        </is>
      </c>
      <c r="J14" s="6">
        <f>IF(I14="Completed","Completed",IF(NOW()&gt;H14,"Escalated",IF(NOW()&gt;F14,"Overdue",IF(NOW()&gt;=F14-(E14/24)*20%,"At Risk",IF(I14="Pending","Pending","On Track")))))</f>
        <v/>
      </c>
      <c r="K14" s="6" t="n"/>
    </row>
    <row r="15">
      <c r="A15" s="6" t="inlineStr">
        <is>
          <t>P4</t>
        </is>
      </c>
      <c r="B15" s="6" t="inlineStr">
        <is>
          <t>Audio Mix Final Review</t>
        </is>
      </c>
      <c r="C15" s="6" t="inlineStr">
        <is>
          <t>Audio Lead</t>
        </is>
      </c>
      <c r="D15" s="17" t="n">
        <v>46304.77083333334</v>
      </c>
      <c r="E15" s="6" t="n">
        <v>24</v>
      </c>
      <c r="F15" s="17">
        <f>D15+E15/24</f>
        <v/>
      </c>
      <c r="G15" s="17">
        <f>F15</f>
        <v/>
      </c>
      <c r="H15" s="17">
        <f>F15+IF(A15="P1",12/24,IF(A15="P2",24/24,IF(A15="P3",24/24,6/24)))</f>
        <v/>
      </c>
      <c r="I15" s="6" t="inlineStr">
        <is>
          <t>Not Started</t>
        </is>
      </c>
      <c r="J15" s="6">
        <f>IF(I15="Completed","Completed",IF(NOW()&gt;H15,"Escalated",IF(NOW()&gt;F15,"Overdue",IF(NOW()&gt;=F15-(E15/24)*20%,"At Risk",IF(I15="Pending","Pending","On Track")))))</f>
        <v/>
      </c>
      <c r="K15" s="6" t="n"/>
    </row>
    <row r="16">
      <c r="A16" s="6" t="inlineStr">
        <is>
          <t>P4</t>
        </is>
      </c>
      <c r="B16" s="6" t="inlineStr">
        <is>
          <t>Canon Final Audit</t>
        </is>
      </c>
      <c r="C16" s="6" t="inlineStr">
        <is>
          <t>QC Lead</t>
        </is>
      </c>
      <c r="D16" s="17" t="n">
        <v>46304.77083333334</v>
      </c>
      <c r="E16" s="6" t="n">
        <v>24</v>
      </c>
      <c r="F16" s="17">
        <f>D16+E16/24</f>
        <v/>
      </c>
      <c r="G16" s="17">
        <f>F16</f>
        <v/>
      </c>
      <c r="H16" s="17">
        <f>F16+IF(A16="P1",12/24,IF(A16="P2",24/24,IF(A16="P3",24/24,6/24)))</f>
        <v/>
      </c>
      <c r="I16" s="6" t="inlineStr">
        <is>
          <t>Not Started</t>
        </is>
      </c>
      <c r="J16" s="6">
        <f>IF(I16="Completed","Completed",IF(NOW()&gt;H16,"Escalated",IF(NOW()&gt;F16,"Overdue",IF(NOW()&gt;=F16-(E16/24)*20%,"At Risk",IF(I16="Pending","Pending","On Track")))))</f>
        <v/>
      </c>
      <c r="K16" s="6" t="n"/>
    </row>
    <row r="17">
      <c r="A17" s="6" t="inlineStr">
        <is>
          <t>P4</t>
        </is>
      </c>
      <c r="B17" s="6" t="inlineStr">
        <is>
          <t>Final Render Approval</t>
        </is>
      </c>
      <c r="C17" s="6" t="inlineStr">
        <is>
          <t>Editor Lead</t>
        </is>
      </c>
      <c r="D17" s="17" t="n">
        <v>46305.77083333334</v>
      </c>
      <c r="E17" s="6" t="n">
        <v>12</v>
      </c>
      <c r="F17" s="17">
        <f>D17+E17/24</f>
        <v/>
      </c>
      <c r="G17" s="17">
        <f>F17</f>
        <v/>
      </c>
      <c r="H17" s="17">
        <f>F17+IF(A17="P1",12/24,IF(A17="P2",24/24,IF(A17="P3",24/24,6/24)))</f>
        <v/>
      </c>
      <c r="I17" s="6" t="inlineStr">
        <is>
          <t>Not Started</t>
        </is>
      </c>
      <c r="J17" s="6">
        <f>IF(I17="Completed","Completed",IF(NOW()&gt;H17,"Escalated",IF(NOW()&gt;F17,"Overdue",IF(NOW()&gt;=F17-(E17/24)*20%,"At Risk",IF(I17="Pending","Pending","On Track")))))</f>
        <v/>
      </c>
      <c r="K17" s="6" t="n"/>
    </row>
    <row r="18">
      <c r="A18" s="6" t="inlineStr">
        <is>
          <t>P4</t>
        </is>
      </c>
      <c r="B18" s="6" t="inlineStr">
        <is>
          <t>Executive Release Approval</t>
        </is>
      </c>
      <c r="C18" s="6" t="inlineStr">
        <is>
          <t>Executive Producer</t>
        </is>
      </c>
      <c r="D18" s="17" t="n">
        <v>46305.77083333334</v>
      </c>
      <c r="E18" s="6" t="n">
        <v>12</v>
      </c>
      <c r="F18" s="17">
        <f>D18+E18/24</f>
        <v/>
      </c>
      <c r="G18" s="17">
        <f>F18</f>
        <v/>
      </c>
      <c r="H18" s="17">
        <f>F18+IF(A18="P1",12/24,IF(A18="P2",24/24,IF(A18="P3",24/24,6/24)))</f>
        <v/>
      </c>
      <c r="I18" s="6" t="inlineStr">
        <is>
          <t>Not Started</t>
        </is>
      </c>
      <c r="J18" s="6">
        <f>IF(I18="Completed","Completed",IF(NOW()&gt;H18,"Escalated",IF(NOW()&gt;F18,"Overdue",IF(NOW()&gt;=F18-(E18/24)*20%,"At Risk",IF(I18="Pending","Pending","On Track")))))</f>
        <v/>
      </c>
      <c r="K18" s="6" t="n"/>
    </row>
  </sheetData>
  <autoFilter ref="A1:K18"/>
  <conditionalFormatting sqref="J2:J18">
    <cfRule type="expression" priority="1" dxfId="1">
      <formula>$J2="Completed"</formula>
    </cfRule>
    <cfRule type="expression" priority="2" dxfId="1">
      <formula>$J2="On Track"</formula>
    </cfRule>
    <cfRule type="expression" priority="3" dxfId="2">
      <formula>$J2="Pending"</formula>
    </cfRule>
    <cfRule type="expression" priority="4" dxfId="3">
      <formula>$J2="At Risk"</formula>
    </cfRule>
    <cfRule type="expression" priority="5" dxfId="4">
      <formula>$J2="Overdue"</formula>
    </cfRule>
    <cfRule type="expression" priority="6" dxfId="5">
      <formula>$J2="Escalated"</formula>
    </cfRule>
  </conditionalFormatting>
  <conditionalFormatting sqref="A2:A18">
    <cfRule type="expression" priority="7" dxfId="6">
      <formula>$A2="P1"</formula>
    </cfRule>
    <cfRule type="expression" priority="8" dxfId="7">
      <formula>$A2="P2"</formula>
    </cfRule>
    <cfRule type="expression" priority="9" dxfId="8">
      <formula>$A2="P3"</formula>
    </cfRule>
    <cfRule type="expression" priority="10" dxfId="9">
      <formula>$A2="P4"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5" t="inlineStr">
        <is>
          <t>Activity</t>
        </is>
      </c>
      <c r="B1" s="5" t="inlineStr">
        <is>
          <t>Executive Producer</t>
        </is>
      </c>
      <c r="C1" s="5" t="inlineStr">
        <is>
          <t>Producer</t>
        </is>
      </c>
      <c r="D1" s="5" t="inlineStr">
        <is>
          <t>Canon Director</t>
        </is>
      </c>
      <c r="E1" s="5" t="inlineStr">
        <is>
          <t>Lead Writer</t>
        </is>
      </c>
      <c r="F1" s="5" t="inlineStr">
        <is>
          <t>Art Director</t>
        </is>
      </c>
      <c r="G1" s="5" t="inlineStr">
        <is>
          <t>Prompt Lead</t>
        </is>
      </c>
      <c r="H1" s="5" t="inlineStr">
        <is>
          <t>Animation Lead</t>
        </is>
      </c>
      <c r="I1" s="5" t="inlineStr">
        <is>
          <t>Editor Lead</t>
        </is>
      </c>
      <c r="J1" s="5" t="inlineStr">
        <is>
          <t>Audio Lead</t>
        </is>
      </c>
      <c r="K1" s="5" t="inlineStr">
        <is>
          <t>QC Lead</t>
        </is>
      </c>
      <c r="L1" s="5" t="inlineStr">
        <is>
          <t>Marketing Lead</t>
        </is>
      </c>
    </row>
    <row r="2">
      <c r="A2" t="inlineStr">
        <is>
          <t>Canon Package Approval</t>
        </is>
      </c>
      <c r="B2" s="8" t="inlineStr">
        <is>
          <t>A</t>
        </is>
      </c>
      <c r="C2" s="8" t="inlineStr">
        <is>
          <t>I</t>
        </is>
      </c>
      <c r="D2" s="8" t="inlineStr">
        <is>
          <t>R</t>
        </is>
      </c>
      <c r="E2" s="8" t="inlineStr">
        <is>
          <t>C</t>
        </is>
      </c>
      <c r="F2" s="8" t="inlineStr"/>
      <c r="G2" s="8" t="inlineStr"/>
      <c r="H2" s="8" t="inlineStr"/>
      <c r="I2" s="8" t="inlineStr"/>
      <c r="J2" s="8" t="inlineStr"/>
      <c r="K2" s="8" t="inlineStr">
        <is>
          <t>C</t>
        </is>
      </c>
      <c r="L2" s="8" t="inlineStr"/>
    </row>
    <row r="3">
      <c r="A3" t="inlineStr">
        <is>
          <t>Script &amp; Shot Lock</t>
        </is>
      </c>
      <c r="B3" s="8" t="inlineStr"/>
      <c r="C3" s="8" t="inlineStr">
        <is>
          <t>A</t>
        </is>
      </c>
      <c r="D3" s="8" t="inlineStr">
        <is>
          <t>C</t>
        </is>
      </c>
      <c r="E3" s="8" t="inlineStr">
        <is>
          <t>R</t>
        </is>
      </c>
      <c r="F3" s="8" t="inlineStr"/>
      <c r="G3" s="8" t="inlineStr"/>
      <c r="H3" s="8" t="inlineStr">
        <is>
          <t>I</t>
        </is>
      </c>
      <c r="I3" s="8" t="inlineStr">
        <is>
          <t>C</t>
        </is>
      </c>
      <c r="J3" s="8" t="inlineStr"/>
      <c r="K3" s="8" t="inlineStr"/>
      <c r="L3" s="8" t="inlineStr"/>
    </row>
    <row r="4">
      <c r="A4" t="inlineStr">
        <is>
          <t>Character Canon Approval</t>
        </is>
      </c>
      <c r="B4" s="8" t="inlineStr"/>
      <c r="C4" s="8" t="inlineStr">
        <is>
          <t>A</t>
        </is>
      </c>
      <c r="D4" s="8" t="inlineStr">
        <is>
          <t>C</t>
        </is>
      </c>
      <c r="E4" s="8" t="inlineStr">
        <is>
          <t>C</t>
        </is>
      </c>
      <c r="F4" s="8" t="inlineStr">
        <is>
          <t>R</t>
        </is>
      </c>
      <c r="G4" s="8" t="inlineStr"/>
      <c r="H4" s="8" t="inlineStr"/>
      <c r="I4" s="8" t="inlineStr"/>
      <c r="J4" s="8" t="inlineStr"/>
      <c r="K4" s="8" t="inlineStr">
        <is>
          <t>I</t>
        </is>
      </c>
      <c r="L4" s="8" t="inlineStr"/>
    </row>
    <row r="5">
      <c r="A5" t="inlineStr">
        <is>
          <t>Image Prompt Review</t>
        </is>
      </c>
      <c r="B5" s="8" t="inlineStr"/>
      <c r="C5" s="8" t="inlineStr">
        <is>
          <t>A</t>
        </is>
      </c>
      <c r="D5" s="8" t="inlineStr">
        <is>
          <t>C</t>
        </is>
      </c>
      <c r="E5" s="8" t="inlineStr">
        <is>
          <t>C</t>
        </is>
      </c>
      <c r="F5" s="8" t="inlineStr">
        <is>
          <t>C</t>
        </is>
      </c>
      <c r="G5" s="8" t="inlineStr">
        <is>
          <t>R</t>
        </is>
      </c>
      <c r="H5" s="8" t="inlineStr"/>
      <c r="I5" s="8" t="inlineStr"/>
      <c r="J5" s="8" t="inlineStr"/>
      <c r="K5" s="8" t="inlineStr"/>
      <c r="L5" s="8" t="inlineStr"/>
    </row>
    <row r="6">
      <c r="A6" t="inlineStr">
        <is>
          <t>Motion Prompt Review</t>
        </is>
      </c>
      <c r="B6" s="8" t="inlineStr"/>
      <c r="C6" s="8" t="inlineStr">
        <is>
          <t>A</t>
        </is>
      </c>
      <c r="D6" s="8" t="inlineStr">
        <is>
          <t>I</t>
        </is>
      </c>
      <c r="E6" s="8" t="inlineStr"/>
      <c r="F6" s="8" t="inlineStr"/>
      <c r="G6" s="8" t="inlineStr">
        <is>
          <t>C</t>
        </is>
      </c>
      <c r="H6" s="8" t="inlineStr">
        <is>
          <t>R</t>
        </is>
      </c>
      <c r="I6" s="8" t="inlineStr">
        <is>
          <t>C</t>
        </is>
      </c>
      <c r="J6" s="8" t="inlineStr"/>
      <c r="K6" s="8" t="inlineStr"/>
      <c r="L6" s="8" t="inlineStr"/>
    </row>
    <row r="7">
      <c r="A7" t="inlineStr">
        <is>
          <t>Asset Production</t>
        </is>
      </c>
      <c r="B7" s="8" t="inlineStr"/>
      <c r="C7" s="8" t="inlineStr">
        <is>
          <t>A</t>
        </is>
      </c>
      <c r="D7" s="8" t="inlineStr"/>
      <c r="E7" s="8" t="inlineStr"/>
      <c r="F7" s="8" t="inlineStr">
        <is>
          <t>R</t>
        </is>
      </c>
      <c r="G7" s="8" t="inlineStr">
        <is>
          <t>R</t>
        </is>
      </c>
      <c r="H7" s="8" t="inlineStr">
        <is>
          <t>C</t>
        </is>
      </c>
      <c r="I7" s="8" t="inlineStr"/>
      <c r="J7" s="8" t="inlineStr"/>
      <c r="K7" s="8" t="inlineStr">
        <is>
          <t>C</t>
        </is>
      </c>
      <c r="L7" s="8" t="inlineStr"/>
    </row>
    <row r="8">
      <c r="A8" t="inlineStr">
        <is>
          <t>Animation Production</t>
        </is>
      </c>
      <c r="B8" s="8" t="inlineStr"/>
      <c r="C8" s="8" t="inlineStr">
        <is>
          <t>A</t>
        </is>
      </c>
      <c r="D8" s="8" t="inlineStr"/>
      <c r="E8" s="8" t="inlineStr"/>
      <c r="F8" s="8" t="inlineStr">
        <is>
          <t>C</t>
        </is>
      </c>
      <c r="G8" s="8" t="inlineStr"/>
      <c r="H8" s="8" t="inlineStr">
        <is>
          <t>R</t>
        </is>
      </c>
      <c r="I8" s="8" t="inlineStr">
        <is>
          <t>C</t>
        </is>
      </c>
      <c r="J8" s="8" t="inlineStr"/>
      <c r="K8" s="8" t="inlineStr">
        <is>
          <t>C</t>
        </is>
      </c>
      <c r="L8" s="8" t="inlineStr"/>
    </row>
    <row r="9">
      <c r="A9" t="inlineStr">
        <is>
          <t>Editing Master</t>
        </is>
      </c>
      <c r="B9" s="8" t="inlineStr"/>
      <c r="C9" s="8" t="inlineStr">
        <is>
          <t>A</t>
        </is>
      </c>
      <c r="D9" s="8" t="inlineStr"/>
      <c r="E9" s="8" t="inlineStr"/>
      <c r="F9" s="8" t="inlineStr"/>
      <c r="G9" s="8" t="inlineStr"/>
      <c r="H9" s="8" t="inlineStr">
        <is>
          <t>C</t>
        </is>
      </c>
      <c r="I9" s="8" t="inlineStr">
        <is>
          <t>R</t>
        </is>
      </c>
      <c r="J9" s="8" t="inlineStr">
        <is>
          <t>C</t>
        </is>
      </c>
      <c r="K9" s="8" t="inlineStr">
        <is>
          <t>C</t>
        </is>
      </c>
      <c r="L9" s="8" t="inlineStr"/>
    </row>
    <row r="10">
      <c r="A10" t="inlineStr">
        <is>
          <t>Audio Mix</t>
        </is>
      </c>
      <c r="B10" s="8" t="inlineStr"/>
      <c r="C10" s="8" t="inlineStr">
        <is>
          <t>A</t>
        </is>
      </c>
      <c r="D10" s="8" t="inlineStr"/>
      <c r="E10" s="8" t="inlineStr"/>
      <c r="F10" s="8" t="inlineStr"/>
      <c r="G10" s="8" t="inlineStr"/>
      <c r="H10" s="8" t="inlineStr"/>
      <c r="I10" s="8" t="inlineStr">
        <is>
          <t>C</t>
        </is>
      </c>
      <c r="J10" s="8" t="inlineStr">
        <is>
          <t>R</t>
        </is>
      </c>
      <c r="K10" s="8" t="inlineStr">
        <is>
          <t>C</t>
        </is>
      </c>
      <c r="L10" s="8" t="inlineStr"/>
    </row>
    <row r="11">
      <c r="A11" t="inlineStr">
        <is>
          <t>Canon Final Audit</t>
        </is>
      </c>
      <c r="B11" s="8" t="inlineStr"/>
      <c r="C11" s="8" t="inlineStr">
        <is>
          <t>I</t>
        </is>
      </c>
      <c r="D11" s="8" t="inlineStr">
        <is>
          <t>A</t>
        </is>
      </c>
      <c r="E11" s="8" t="inlineStr">
        <is>
          <t>C</t>
        </is>
      </c>
      <c r="F11" s="8" t="inlineStr"/>
      <c r="G11" s="8" t="inlineStr"/>
      <c r="H11" s="8" t="inlineStr"/>
      <c r="I11" s="8" t="inlineStr">
        <is>
          <t>C</t>
        </is>
      </c>
      <c r="J11" s="8" t="inlineStr"/>
      <c r="K11" s="8" t="inlineStr">
        <is>
          <t>R</t>
        </is>
      </c>
      <c r="L11" s="8" t="inlineStr"/>
    </row>
    <row r="12">
      <c r="A12" t="inlineStr">
        <is>
          <t>YouTube Metadata</t>
        </is>
      </c>
      <c r="B12" s="8" t="inlineStr"/>
      <c r="C12" s="8" t="inlineStr">
        <is>
          <t>A</t>
        </is>
      </c>
      <c r="D12" s="8" t="inlineStr"/>
      <c r="E12" s="8" t="inlineStr">
        <is>
          <t>C</t>
        </is>
      </c>
      <c r="F12" s="8" t="inlineStr"/>
      <c r="G12" s="8" t="inlineStr"/>
      <c r="H12" s="8" t="inlineStr"/>
      <c r="I12" s="8" t="inlineStr">
        <is>
          <t>I</t>
        </is>
      </c>
      <c r="J12" s="8" t="inlineStr"/>
      <c r="K12" s="8" t="inlineStr"/>
      <c r="L12" s="8" t="inlineStr">
        <is>
          <t>R</t>
        </is>
      </c>
    </row>
    <row r="13">
      <c r="A13" t="inlineStr">
        <is>
          <t>Release Approval</t>
        </is>
      </c>
      <c r="B13" s="8" t="inlineStr">
        <is>
          <t>A</t>
        </is>
      </c>
      <c r="C13" s="8" t="inlineStr">
        <is>
          <t>R</t>
        </is>
      </c>
      <c r="D13" s="8" t="inlineStr">
        <is>
          <t>C</t>
        </is>
      </c>
      <c r="E13" s="8" t="inlineStr"/>
      <c r="F13" s="8" t="inlineStr"/>
      <c r="G13" s="8" t="inlineStr"/>
      <c r="H13" s="8" t="inlineStr"/>
      <c r="I13" s="8" t="inlineStr">
        <is>
          <t>C</t>
        </is>
      </c>
      <c r="J13" s="8" t="inlineStr"/>
      <c r="K13" s="8" t="inlineStr">
        <is>
          <t>C</t>
        </is>
      </c>
      <c r="L13" s="8" t="inlineStr">
        <is>
          <t>I</t>
        </is>
      </c>
    </row>
    <row r="16">
      <c r="A16" s="2" t="inlineStr">
        <is>
          <t>Legend</t>
        </is>
      </c>
    </row>
    <row r="17">
      <c r="A17" t="inlineStr">
        <is>
          <t>R = Responsible | A = Accountable | C = Consulted | I = Informed</t>
        </is>
      </c>
    </row>
  </sheetData>
  <mergeCells count="1">
    <mergeCell ref="A17:L17"/>
  </mergeCells>
  <conditionalFormatting sqref="B2:L13">
    <cfRule type="expression" priority="1" dxfId="10">
      <formula>B2="R"</formula>
    </cfRule>
    <cfRule type="expression" priority="2" dxfId="11">
      <formula>B2="A"</formula>
    </cfRule>
    <cfRule type="expression" priority="3" dxfId="8">
      <formula>B2="C"</formula>
    </cfRule>
    <cfRule type="expression" priority="4" dxfId="12">
      <formula>B2="I"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2026-09-29T12:29:09Z</dcterms:created>
  <dcterms:modified xmlns:dcterms="http://purl.org/dc/terms/" xmlns:xsi="http://www.w3.org/2001/XMLSchema-instance" xsi:type="dcterms:W3CDTF">2026-09-29T12:49:46Z</dcterms:modified>
</cp:coreProperties>
</file>